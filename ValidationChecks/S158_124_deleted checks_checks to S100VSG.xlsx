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W:\Administration\MWOO\Engagement\s-124PT\S158_124\"/>
    </mc:Choice>
  </mc:AlternateContent>
  <xr:revisionPtr revIDLastSave="0" documentId="8_{32B46286-7AC3-449B-B0B3-F127EF49D7B1}" xr6:coauthVersionLast="47" xr6:coauthVersionMax="47" xr10:uidLastSave="{00000000-0000-0000-0000-000000000000}"/>
  <bookViews>
    <workbookView xWindow="-120" yWindow="90" windowWidth="29040" windowHeight="17310" xr2:uid="{D09FCB44-27C7-4A8C-9AB4-C0FB353EA161}"/>
  </bookViews>
  <sheets>
    <sheet name="Checks to Be Considered by VSG" sheetId="1" r:id="rId1"/>
    <sheet name="124 Checks subject for deletion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Elizabeth Helen Hahessy</author>
    <author>Raphael Malyankar</author>
  </authors>
  <commentList>
    <comment ref="A1" authorId="0" shapeId="0" xr:uid="{1981AE2F-EA1C-4F18-94E0-BE3835B78406}">
      <text>
        <r>
          <rPr>
            <b/>
            <sz val="9"/>
            <color indexed="81"/>
            <rFont val="Tahoma"/>
            <family val="2"/>
          </rPr>
          <t>Elizabeth Helen Hahessy:</t>
        </r>
        <r>
          <rPr>
            <sz val="9"/>
            <color indexed="81"/>
            <rFont val="Tahoma"/>
            <family val="2"/>
          </rPr>
          <t xml:space="preserve">
(will be deleted at a time to be agreed upon)</t>
        </r>
      </text>
    </comment>
    <comment ref="D1" authorId="1" shapeId="0" xr:uid="{320E2A0C-9F25-4693-8086-273E5A1819E0}">
      <text>
        <r>
          <rPr>
            <b/>
            <sz val="9"/>
            <color indexed="81"/>
            <rFont val="Tahoma"/>
            <family val="2"/>
          </rPr>
          <t>Raphael Malyankar:</t>
        </r>
        <r>
          <rPr>
            <sz val="9"/>
            <color indexed="81"/>
            <rFont val="Tahoma"/>
            <family val="2"/>
          </rPr>
          <t xml:space="preserve">
All Check message entries are new, either originals, or originals developed by the S-101 team, or derived from S-58 messages.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Elizabeth Helen Hahessy</author>
    <author>Raphael Malyankar</author>
  </authors>
  <commentList>
    <comment ref="A1" authorId="0" shapeId="0" xr:uid="{963DB0A7-4E0A-40A1-97C2-1E17404637AB}">
      <text>
        <r>
          <rPr>
            <b/>
            <sz val="9"/>
            <color indexed="81"/>
            <rFont val="Tahoma"/>
            <family val="2"/>
          </rPr>
          <t>Elizabeth Helen Hahessy:</t>
        </r>
        <r>
          <rPr>
            <sz val="9"/>
            <color indexed="81"/>
            <rFont val="Tahoma"/>
            <family val="2"/>
          </rPr>
          <t xml:space="preserve">
(will be deleted at a time to be agreed upon)</t>
        </r>
      </text>
    </comment>
    <comment ref="D1" authorId="1" shapeId="0" xr:uid="{B6783A43-A544-4621-BBB1-F3B5A594D8B4}">
      <text>
        <r>
          <rPr>
            <b/>
            <sz val="9"/>
            <color indexed="81"/>
            <rFont val="Tahoma"/>
            <family val="2"/>
          </rPr>
          <t>Raphael Malyankar:</t>
        </r>
        <r>
          <rPr>
            <sz val="9"/>
            <color indexed="81"/>
            <rFont val="Tahoma"/>
            <family val="2"/>
          </rPr>
          <t xml:space="preserve">
All Check message entries are new, either originals, or originals developed by the S-101 team, or derived from S-58 messages.</t>
        </r>
      </text>
    </comment>
  </commentList>
</comments>
</file>

<file path=xl/sharedStrings.xml><?xml version="1.0" encoding="utf-8"?>
<sst xmlns="http://schemas.openxmlformats.org/spreadsheetml/2006/main" count="238" uniqueCount="121">
  <si>
    <t>Check ID</t>
  </si>
  <si>
    <t>Classification</t>
  </si>
  <si>
    <t>Check Description</t>
  </si>
  <si>
    <t>Standards document reference</t>
  </si>
  <si>
    <t>Clause reference</t>
  </si>
  <si>
    <t>Data Quality Measure</t>
  </si>
  <si>
    <t>Introduced</t>
  </si>
  <si>
    <t>Modified</t>
  </si>
  <si>
    <t>Deleted</t>
  </si>
  <si>
    <t>Uploaded Date (internal use)</t>
  </si>
  <si>
    <t>Old Dev ID (Internal use)</t>
  </si>
  <si>
    <t>S124_Dev0100</t>
  </si>
  <si>
    <t>124_XXXX</t>
  </si>
  <si>
    <t>Warning</t>
  </si>
  <si>
    <t xml:space="preserve">Objects fall outside the coverage object. </t>
  </si>
  <si>
    <t>For each feature object where its geometry is not COVERED_BY the bounding box.</t>
  </si>
  <si>
    <t>Ensure objects are not outside of the limits of the cell.</t>
  </si>
  <si>
    <t>Exchange Set Schema</t>
  </si>
  <si>
    <t>1.5.0</t>
  </si>
  <si>
    <t>2.0.0</t>
  </si>
  <si>
    <t>This should really be a general S-100 requirement and check.</t>
  </si>
  <si>
    <t>PS</t>
  </si>
  <si>
    <t>S124_Dev0102</t>
  </si>
  <si>
    <t xml:space="preserve">Duplicate gml:id exist within the dataset. </t>
  </si>
  <si>
    <t>For each feature record where the name is not unique WITHIN the dataset.</t>
  </si>
  <si>
    <t>Ensure that no duplicate gml:id exist.</t>
  </si>
  <si>
    <t>Should this not be a general S-100 requirement of GML and therefore an S-158:100 check?</t>
  </si>
  <si>
    <t>S124_Dev0103</t>
  </si>
  <si>
    <t>Mandatory attributes are not encoded.</t>
  </si>
  <si>
    <t>If any mandatory attributes are not present.</t>
  </si>
  <si>
    <t>Populate mandatory attributes with a value.</t>
  </si>
  <si>
    <t>This is already covered by 100_0004, which is categorised as Critical.</t>
  </si>
  <si>
    <t>S124_Dev0106</t>
  </si>
  <si>
    <t>Wrong association used.</t>
  </si>
  <si>
    <t>For each association between features instances, features instances and information instances, and between information instances that is not defined in the feature catalogue.</t>
  </si>
  <si>
    <t>Use correct association type.</t>
  </si>
  <si>
    <t>Logical consistency</t>
  </si>
  <si>
    <t>This is already covered by 100_0001 and 100_0012, which are categorised as Critical.</t>
  </si>
  <si>
    <t>S124_Dev0107</t>
  </si>
  <si>
    <t>Wrong role used.</t>
  </si>
  <si>
    <t>For each role name on associations that is not defined in the feature catalogue.</t>
  </si>
  <si>
    <t>Use correct role name.</t>
  </si>
  <si>
    <t>This should really be a general S-100 requirement and check. This could fall under checks 100_0001 and/or 100_0012.</t>
  </si>
  <si>
    <t>S124_Dev0108</t>
  </si>
  <si>
    <t>Unknown association is used.</t>
  </si>
  <si>
    <t>For each association that is not defined in the feature catalogue.</t>
  </si>
  <si>
    <t>Use association that is defined in the feature catalogue.</t>
  </si>
  <si>
    <t>FC</t>
  </si>
  <si>
    <t>S124_Dev0109</t>
  </si>
  <si>
    <t>Unknown role name is used.</t>
  </si>
  <si>
    <t>For each role name that is not defined in the feature catalogue.</t>
  </si>
  <si>
    <t>Use role name that is defined in the feature catalogue.</t>
  </si>
  <si>
    <t>S124_Dev0110</t>
  </si>
  <si>
    <t>Class is associated in an illegal association.</t>
  </si>
  <si>
    <t>For each association ensure associated classes are only those permitted by the feature catalogue.</t>
  </si>
  <si>
    <t>Ensure correct association is used between classes.</t>
  </si>
  <si>
    <t>This is already covered by 100_0001, which is categorised as Critical.</t>
  </si>
  <si>
    <t>S124_Dev0111</t>
  </si>
  <si>
    <t>Role name is used on an illegal association.</t>
  </si>
  <si>
    <t>For each role name ensure it is only used with permitted associations.</t>
  </si>
  <si>
    <t>Ensure correct role names are used on the association.</t>
  </si>
  <si>
    <t>S124_Dev0112</t>
  </si>
  <si>
    <t>Dataset does not conform to the GML schema.</t>
  </si>
  <si>
    <t>Ensure dataset conformance to the GML schema.</t>
  </si>
  <si>
    <t>Ensure conformance to the GML schema.</t>
  </si>
  <si>
    <t>S124_Dev0113</t>
  </si>
  <si>
    <t xml:space="preserve"> Illegal character set used.</t>
  </si>
  <si>
    <t>Ensure all text fields are encoded using UTF-8.</t>
  </si>
  <si>
    <t>Change character encoding to UTF-8.</t>
  </si>
  <si>
    <t>Should be an S-100 level check.</t>
  </si>
  <si>
    <t>S124_Dev0118</t>
  </si>
  <si>
    <t>File names are not in accordance with the Product Specification.</t>
  </si>
  <si>
    <t xml:space="preserve">If the file names in an exchange set are not in accordance with the Product Specification. </t>
  </si>
  <si>
    <t>Amend file names.</t>
  </si>
  <si>
    <t>Should be an S-100 level check, e.g., 100_0304.</t>
  </si>
  <si>
    <t>Object outside dataset bounding box.</t>
  </si>
  <si>
    <t>For each feature instance that does not OVERLAP OR is WITHIN the bounding box.</t>
  </si>
  <si>
    <t>Remove object or amend coverage.</t>
  </si>
  <si>
    <t>12.2.2</t>
  </si>
  <si>
    <t>How is this check different to S124_Dev0100? The "Overlaps" part is incorrect.</t>
  </si>
  <si>
    <t>Object has invalid feature class code.</t>
  </si>
  <si>
    <t>For each feature instance which does not have a valid feature class label/code as defined by the feature catalogue.</t>
  </si>
  <si>
    <t>PS/FC</t>
  </si>
  <si>
    <t>Covered by 100_0001.</t>
  </si>
  <si>
    <t>Attribute has invalid attribute label/code.</t>
  </si>
  <si>
    <t>For each attribute which does not have a valid attribute label/code as defined by the feature catalogue.</t>
  </si>
  <si>
    <t>Amend attribute label/code.</t>
  </si>
  <si>
    <t>S124_Dev0122</t>
  </si>
  <si>
    <t>Attribute not permitted on feature class.</t>
  </si>
  <si>
    <t>For each feature object which contains attributes outside the list of permissible attributes for the feature class (as defined in the feature catalogue).</t>
  </si>
  <si>
    <t>Remove attribute.</t>
  </si>
  <si>
    <t>Covered by 100_0005.</t>
  </si>
  <si>
    <t>S124_Dev0125</t>
  </si>
  <si>
    <t>Too many instances of attribute.</t>
  </si>
  <si>
    <t>For each attribute instance where the total number of instances exceed the permitted number of instances</t>
  </si>
  <si>
    <t>Ensure correct attribute encoding.</t>
  </si>
  <si>
    <t>Covered by 100_0004.</t>
  </si>
  <si>
    <t>Object has dateStart without a value of dateEnd.</t>
  </si>
  <si>
    <t>For each feature instance where fixedDateRange subattribute dateStart is notNull AND dateEnd is Null OR not Present.</t>
  </si>
  <si>
    <t>Populate dateEnd or remove dateStart.</t>
  </si>
  <si>
    <t>should this be a check. In the DCEG there are examples of open ended date ranges</t>
  </si>
  <si>
    <t>Vertex density exceeds the allowable tolerance.</t>
  </si>
  <si>
    <t xml:space="preserve">For each linear geometry which contains vertices at a density Greater than 0.3mm at 1:10000. </t>
  </si>
  <si>
    <t>Generalise edge(s).</t>
  </si>
  <si>
    <t>this is not mentioned in para 8.8 in version 2.0.0, could this check be deleted</t>
  </si>
  <si>
    <t xml:space="preserve">Dev ID </t>
  </si>
  <si>
    <t xml:space="preserve">Check Message </t>
  </si>
  <si>
    <t xml:space="preserve">Check Solution </t>
  </si>
  <si>
    <t>Notes</t>
  </si>
  <si>
    <t>8.9</t>
  </si>
  <si>
    <t>9.8</t>
  </si>
  <si>
    <t>8.5</t>
  </si>
  <si>
    <t>4.3</t>
  </si>
  <si>
    <t>8.4</t>
  </si>
  <si>
    <t>8.1</t>
  </si>
  <si>
    <t>S124_Dev121 </t>
  </si>
  <si>
    <t>Amend object’s feature class code.</t>
  </si>
  <si>
    <t>S124_Dev120 </t>
  </si>
  <si>
    <t>S124_Dev119 </t>
  </si>
  <si>
    <t>1.0.0</t>
  </si>
  <si>
    <t>8.8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</si>
</sst>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9" tint="-0.249977111117893"/>
      <name val="Aptos Narrow"/>
      <family val="2"/>
      <scheme val="minor"/>
    </font>
    <font>
      <sz val="11"/>
      <color rgb="FF9C65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7" fillId="3" borderId="0" applyNumberFormat="0" applyBorder="0" applyAlignment="0" applyProtection="0"/>
    <xf numFmtId="0" fontId="23" fillId="4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wrapText="1"/>
    </xf>
    <xf numFmtId="0" fontId="18" fillId="33" borderId="10" xfId="0" applyFont="1" applyFill="1" applyBorder="1" applyAlignment="1">
      <alignment horizontal="center" vertical="center" wrapText="1"/>
    </xf>
    <xf numFmtId="49" fontId="18" fillId="33" borderId="10" xfId="0" applyNumberFormat="1" applyFont="1" applyFill="1" applyBorder="1" applyAlignment="1">
      <alignment vertical="center" wrapText="1"/>
    </xf>
    <xf numFmtId="0" fontId="19" fillId="33" borderId="10" xfId="0" applyFont="1" applyFill="1" applyBorder="1" applyAlignment="1">
      <alignment vertical="center" wrapText="1"/>
    </xf>
    <xf numFmtId="164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top" wrapText="1"/>
    </xf>
    <xf numFmtId="0" fontId="18" fillId="0" borderId="10" xfId="0" applyFont="1" applyBorder="1" applyAlignment="1">
      <alignment horizontal="center" vertical="center" wrapText="1"/>
    </xf>
    <xf numFmtId="164" fontId="18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wrapText="1"/>
    </xf>
    <xf numFmtId="0" fontId="1" fillId="26" borderId="10" xfId="35" applyBorder="1" applyAlignment="1">
      <alignment wrapText="1"/>
    </xf>
    <xf numFmtId="49" fontId="1" fillId="26" borderId="10" xfId="35" applyNumberFormat="1" applyBorder="1"/>
    <xf numFmtId="49" fontId="1" fillId="26" borderId="10" xfId="35" applyNumberFormat="1" applyBorder="1" applyAlignment="1">
      <alignment horizont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center" vertical="center"/>
    </xf>
    <xf numFmtId="49" fontId="19" fillId="0" borderId="0" xfId="0" applyNumberFormat="1" applyFont="1" applyAlignment="1">
      <alignment wrapText="1"/>
    </xf>
    <xf numFmtId="49" fontId="19" fillId="0" borderId="10" xfId="0" applyNumberFormat="1" applyFont="1" applyBorder="1" applyAlignment="1">
      <alignment horizontal="center" wrapText="1"/>
    </xf>
    <xf numFmtId="49" fontId="7" fillId="3" borderId="10" xfId="42" applyNumberFormat="1" applyBorder="1" applyAlignment="1">
      <alignment wrapText="1"/>
    </xf>
    <xf numFmtId="0" fontId="22" fillId="0" borderId="10" xfId="0" applyFont="1" applyBorder="1" applyAlignment="1">
      <alignment wrapText="1"/>
    </xf>
    <xf numFmtId="49" fontId="19" fillId="0" borderId="0" xfId="0" applyNumberFormat="1" applyFont="1" applyAlignment="1">
      <alignment horizontal="left" vertical="top" wrapText="1"/>
    </xf>
    <xf numFmtId="0" fontId="19" fillId="33" borderId="11" xfId="0" applyFont="1" applyFill="1" applyBorder="1" applyAlignment="1">
      <alignment vertical="center" wrapText="1"/>
    </xf>
    <xf numFmtId="49" fontId="1" fillId="26" borderId="10" xfId="35" applyNumberFormat="1" applyBorder="1" applyAlignment="1">
      <alignment wrapText="1"/>
    </xf>
    <xf numFmtId="49" fontId="19" fillId="0" borderId="10" xfId="0" applyNumberFormat="1" applyFont="1" applyBorder="1" applyAlignment="1">
      <alignment horizontal="left" vertical="top" wrapText="1"/>
    </xf>
    <xf numFmtId="0" fontId="18" fillId="0" borderId="10" xfId="43" applyFont="1" applyFill="1" applyBorder="1" applyAlignment="1">
      <alignment horizontal="center" vertical="center" wrapText="1"/>
    </xf>
    <xf numFmtId="0" fontId="18" fillId="0" borderId="10" xfId="43" applyFont="1" applyFill="1" applyBorder="1" applyAlignment="1">
      <alignment horizontal="left" vertical="center" wrapText="1"/>
    </xf>
    <xf numFmtId="0" fontId="1" fillId="26" borderId="10" xfId="35" applyBorder="1" applyAlignment="1">
      <alignment horizontal="center" vertical="center" wrapText="1"/>
    </xf>
    <xf numFmtId="49" fontId="19" fillId="0" borderId="10" xfId="0" applyNumberFormat="1" applyFont="1" applyBorder="1" applyAlignment="1">
      <alignment wrapText="1"/>
    </xf>
    <xf numFmtId="49" fontId="18" fillId="0" borderId="10" xfId="0" applyNumberFormat="1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horizontal="left" vertical="center" wrapText="1"/>
    </xf>
    <xf numFmtId="49" fontId="19" fillId="0" borderId="10" xfId="0" applyNumberFormat="1" applyFont="1" applyBorder="1"/>
    <xf numFmtId="0" fontId="19" fillId="34" borderId="10" xfId="0" applyFont="1" applyFill="1" applyBorder="1" applyAlignment="1">
      <alignment wrapText="1"/>
    </xf>
    <xf numFmtId="49" fontId="19" fillId="34" borderId="10" xfId="0" applyNumberFormat="1" applyFont="1" applyFill="1" applyBorder="1"/>
    <xf numFmtId="0" fontId="18" fillId="34" borderId="10" xfId="0" applyFont="1" applyFill="1" applyBorder="1" applyAlignment="1">
      <alignment horizontal="center" vertical="center" wrapText="1"/>
    </xf>
    <xf numFmtId="49" fontId="18" fillId="0" borderId="10" xfId="43" applyNumberFormat="1" applyFont="1" applyFill="1" applyBorder="1" applyAlignment="1">
      <alignment horizontal="center" vertical="center" wrapText="1"/>
    </xf>
    <xf numFmtId="49" fontId="19" fillId="34" borderId="10" xfId="0" applyNumberFormat="1" applyFont="1" applyFill="1" applyBorder="1" applyAlignment="1">
      <alignment wrapText="1"/>
    </xf>
    <xf numFmtId="49" fontId="19" fillId="34" borderId="10" xfId="0" applyNumberFormat="1" applyFont="1" applyFill="1" applyBorder="1" applyAlignment="1">
      <alignment horizontal="center" wrapText="1"/>
    </xf>
    <xf numFmtId="49" fontId="18" fillId="0" borderId="10" xfId="43" applyNumberFormat="1" applyFont="1" applyFill="1" applyBorder="1" applyAlignment="1">
      <alignment horizontal="left" vertical="center" wrapText="1"/>
    </xf>
    <xf numFmtId="0" fontId="0" fillId="0" borderId="10" xfId="0" applyBorder="1" applyAlignment="1">
      <alignment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Bad 2" xfId="42" xr:uid="{ACA74476-30FC-4097-8C18-6B26ADF007E9}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3" xr:uid="{98641604-E2AE-465F-BC49-619111EF6807}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2E161-C8CA-4588-B1F0-63F7D6252435}">
  <dimension ref="A1:O4"/>
  <sheetViews>
    <sheetView tabSelected="1" workbookViewId="0">
      <selection activeCell="O2" sqref="O2"/>
    </sheetView>
  </sheetViews>
  <sheetFormatPr defaultRowHeight="15" x14ac:dyDescent="0.25"/>
  <cols>
    <col min="1" max="1" width="14.5703125" style="1" customWidth="1"/>
    <col min="2" max="2" width="11.140625" style="1" customWidth="1"/>
    <col min="3" max="3" width="9.140625" style="1"/>
    <col min="4" max="4" width="21.42578125" style="1" customWidth="1"/>
    <col min="5" max="5" width="28.85546875" style="1" customWidth="1"/>
    <col min="6" max="6" width="18.7109375" style="1" customWidth="1"/>
    <col min="7" max="8" width="9.140625" style="1"/>
    <col min="9" max="9" width="11.5703125" style="1" customWidth="1"/>
    <col min="10" max="14" width="9.140625" style="1"/>
    <col min="15" max="15" width="68" style="1" customWidth="1"/>
    <col min="16" max="16" width="13.42578125" style="1" customWidth="1"/>
    <col min="17" max="17" width="20.5703125" style="1" customWidth="1"/>
    <col min="18" max="18" width="23.140625" style="1" customWidth="1"/>
    <col min="19" max="19" width="28.85546875" style="1" customWidth="1"/>
    <col min="20" max="16384" width="9.140625" style="1"/>
  </cols>
  <sheetData>
    <row r="1" spans="1:15" ht="54" x14ac:dyDescent="0.25">
      <c r="A1" s="2" t="s">
        <v>105</v>
      </c>
      <c r="B1" s="2" t="s">
        <v>0</v>
      </c>
      <c r="C1" s="2" t="s">
        <v>1</v>
      </c>
      <c r="D1" s="2" t="s">
        <v>106</v>
      </c>
      <c r="E1" s="2" t="s">
        <v>2</v>
      </c>
      <c r="F1" s="2" t="s">
        <v>107</v>
      </c>
      <c r="G1" s="2" t="s">
        <v>3</v>
      </c>
      <c r="H1" s="3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5" t="s">
        <v>9</v>
      </c>
      <c r="N1" s="6" t="s">
        <v>10</v>
      </c>
      <c r="O1" s="1" t="s">
        <v>108</v>
      </c>
    </row>
    <row r="2" spans="1:15" ht="74.25" customHeight="1" x14ac:dyDescent="0.25">
      <c r="A2" s="14" t="s">
        <v>11</v>
      </c>
      <c r="B2" s="9" t="s">
        <v>12</v>
      </c>
      <c r="C2" s="14" t="s">
        <v>13</v>
      </c>
      <c r="D2" s="7" t="s">
        <v>14</v>
      </c>
      <c r="E2" s="13" t="s">
        <v>15</v>
      </c>
      <c r="F2" s="7" t="s">
        <v>16</v>
      </c>
      <c r="G2" s="12" t="s">
        <v>17</v>
      </c>
      <c r="H2" s="11" t="s">
        <v>109</v>
      </c>
      <c r="I2" s="7"/>
      <c r="J2" s="10" t="s">
        <v>18</v>
      </c>
      <c r="K2" s="10" t="s">
        <v>19</v>
      </c>
      <c r="L2" s="9"/>
      <c r="M2" s="8"/>
      <c r="N2" s="7">
        <v>100</v>
      </c>
      <c r="O2" s="15" t="s">
        <v>20</v>
      </c>
    </row>
    <row r="3" spans="1:15" ht="40.5" x14ac:dyDescent="0.25">
      <c r="A3" s="14" t="s">
        <v>22</v>
      </c>
      <c r="B3" s="9" t="s">
        <v>12</v>
      </c>
      <c r="C3" s="14" t="s">
        <v>13</v>
      </c>
      <c r="D3" s="7" t="s">
        <v>23</v>
      </c>
      <c r="E3" s="13" t="s">
        <v>24</v>
      </c>
      <c r="F3" s="7" t="s">
        <v>25</v>
      </c>
      <c r="G3" s="16" t="s">
        <v>21</v>
      </c>
      <c r="H3" s="17" t="s">
        <v>110</v>
      </c>
      <c r="I3" s="7"/>
      <c r="J3" s="9" t="s">
        <v>18</v>
      </c>
      <c r="K3" s="18"/>
      <c r="L3" s="18"/>
      <c r="M3" s="8"/>
      <c r="N3" s="7">
        <v>102</v>
      </c>
      <c r="O3" s="19" t="s">
        <v>26</v>
      </c>
    </row>
    <row r="4" spans="1:15" ht="40.5" x14ac:dyDescent="0.25">
      <c r="A4" s="14" t="s">
        <v>38</v>
      </c>
      <c r="B4" s="9" t="s">
        <v>12</v>
      </c>
      <c r="C4" s="14" t="s">
        <v>13</v>
      </c>
      <c r="D4" s="7" t="s">
        <v>39</v>
      </c>
      <c r="E4" s="13" t="s">
        <v>40</v>
      </c>
      <c r="F4" s="7" t="s">
        <v>41</v>
      </c>
      <c r="G4" s="25" t="s">
        <v>21</v>
      </c>
      <c r="H4" s="11" t="s">
        <v>112</v>
      </c>
      <c r="I4" s="26" t="s">
        <v>36</v>
      </c>
      <c r="J4" s="9" t="s">
        <v>18</v>
      </c>
      <c r="K4" s="10" t="s">
        <v>19</v>
      </c>
      <c r="L4" s="18"/>
      <c r="M4" s="8"/>
      <c r="N4" s="7">
        <v>107</v>
      </c>
      <c r="O4" s="19" t="s">
        <v>42</v>
      </c>
    </row>
  </sheetData>
  <dataValidations count="1">
    <dataValidation type="list" allowBlank="1" showInputMessage="1" showErrorMessage="1" sqref="C2:C4" xr:uid="{370AD230-B017-4523-9CD3-387126B929C4}">
      <formula1>"Critical Error, Error, Warning"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97586-DE33-47DB-9183-82A42D4F0FA4}">
  <dimension ref="A1:M17"/>
  <sheetViews>
    <sheetView topLeftCell="A11" workbookViewId="0">
      <selection activeCell="J25" sqref="J25"/>
    </sheetView>
  </sheetViews>
  <sheetFormatPr defaultRowHeight="15" x14ac:dyDescent="0.25"/>
  <cols>
    <col min="1" max="1" width="20" customWidth="1"/>
    <col min="4" max="4" width="11.5703125" customWidth="1"/>
    <col min="5" max="5" width="29.140625" customWidth="1"/>
    <col min="6" max="6" width="28.85546875" customWidth="1"/>
    <col min="13" max="13" width="30.42578125" customWidth="1"/>
  </cols>
  <sheetData>
    <row r="1" spans="1:13" ht="40.5" x14ac:dyDescent="0.25">
      <c r="A1" s="2" t="s">
        <v>105</v>
      </c>
      <c r="B1" s="2" t="s">
        <v>0</v>
      </c>
      <c r="C1" s="2" t="s">
        <v>1</v>
      </c>
      <c r="D1" s="2" t="s">
        <v>106</v>
      </c>
      <c r="E1" s="2" t="s">
        <v>2</v>
      </c>
      <c r="F1" s="2" t="s">
        <v>107</v>
      </c>
      <c r="G1" s="2" t="s">
        <v>3</v>
      </c>
      <c r="H1" s="3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20" t="s">
        <v>108</v>
      </c>
    </row>
    <row r="2" spans="1:13" ht="40.5" x14ac:dyDescent="0.25">
      <c r="A2" s="14" t="s">
        <v>27</v>
      </c>
      <c r="B2" s="9" t="s">
        <v>12</v>
      </c>
      <c r="C2" s="14" t="s">
        <v>13</v>
      </c>
      <c r="D2" s="7" t="s">
        <v>28</v>
      </c>
      <c r="E2" s="13" t="s">
        <v>29</v>
      </c>
      <c r="F2" s="7" t="s">
        <v>30</v>
      </c>
      <c r="G2" s="16" t="s">
        <v>21</v>
      </c>
      <c r="H2" s="21" t="s">
        <v>111</v>
      </c>
      <c r="I2" s="7"/>
      <c r="J2" s="9" t="s">
        <v>18</v>
      </c>
      <c r="K2" s="10" t="s">
        <v>19</v>
      </c>
      <c r="L2" s="18"/>
      <c r="M2" s="22" t="s">
        <v>31</v>
      </c>
    </row>
    <row r="3" spans="1:13" ht="81" x14ac:dyDescent="0.25">
      <c r="A3" s="14" t="s">
        <v>32</v>
      </c>
      <c r="B3" s="9" t="s">
        <v>12</v>
      </c>
      <c r="C3" s="14" t="s">
        <v>13</v>
      </c>
      <c r="D3" s="23" t="s">
        <v>33</v>
      </c>
      <c r="E3" s="24" t="s">
        <v>34</v>
      </c>
      <c r="F3" s="23" t="s">
        <v>35</v>
      </c>
      <c r="G3" s="25" t="s">
        <v>21</v>
      </c>
      <c r="H3" s="11" t="s">
        <v>112</v>
      </c>
      <c r="I3" s="26" t="s">
        <v>36</v>
      </c>
      <c r="J3" s="9" t="s">
        <v>18</v>
      </c>
      <c r="K3" s="10" t="s">
        <v>19</v>
      </c>
      <c r="L3" s="18"/>
      <c r="M3" s="22" t="s">
        <v>37</v>
      </c>
    </row>
    <row r="4" spans="1:13" ht="40.5" x14ac:dyDescent="0.25">
      <c r="A4" s="14" t="s">
        <v>43</v>
      </c>
      <c r="B4" s="9" t="s">
        <v>12</v>
      </c>
      <c r="C4" s="14" t="s">
        <v>13</v>
      </c>
      <c r="D4" s="7" t="s">
        <v>44</v>
      </c>
      <c r="E4" s="13" t="s">
        <v>45</v>
      </c>
      <c r="F4" s="7" t="s">
        <v>46</v>
      </c>
      <c r="G4" s="25" t="s">
        <v>47</v>
      </c>
      <c r="H4" s="11" t="s">
        <v>112</v>
      </c>
      <c r="I4" s="26" t="s">
        <v>36</v>
      </c>
      <c r="J4" s="9" t="s">
        <v>18</v>
      </c>
      <c r="K4" s="10" t="s">
        <v>19</v>
      </c>
      <c r="L4" s="18"/>
      <c r="M4" s="22" t="s">
        <v>37</v>
      </c>
    </row>
    <row r="5" spans="1:13" ht="54" x14ac:dyDescent="0.25">
      <c r="A5" s="14" t="s">
        <v>48</v>
      </c>
      <c r="B5" s="9" t="s">
        <v>12</v>
      </c>
      <c r="C5" s="14" t="s">
        <v>13</v>
      </c>
      <c r="D5" s="7" t="s">
        <v>49</v>
      </c>
      <c r="E5" s="13" t="s">
        <v>50</v>
      </c>
      <c r="F5" s="7" t="s">
        <v>51</v>
      </c>
      <c r="G5" s="25" t="s">
        <v>47</v>
      </c>
      <c r="H5" s="11" t="s">
        <v>112</v>
      </c>
      <c r="I5" s="26" t="s">
        <v>36</v>
      </c>
      <c r="J5" s="9" t="s">
        <v>18</v>
      </c>
      <c r="K5" s="10" t="s">
        <v>19</v>
      </c>
      <c r="L5" s="18"/>
      <c r="M5" s="22" t="s">
        <v>42</v>
      </c>
    </row>
    <row r="6" spans="1:13" ht="54" x14ac:dyDescent="0.25">
      <c r="A6" s="14" t="s">
        <v>52</v>
      </c>
      <c r="B6" s="9" t="s">
        <v>12</v>
      </c>
      <c r="C6" s="14" t="s">
        <v>13</v>
      </c>
      <c r="D6" s="27" t="s">
        <v>53</v>
      </c>
      <c r="E6" s="28" t="s">
        <v>54</v>
      </c>
      <c r="F6" s="27" t="s">
        <v>55</v>
      </c>
      <c r="G6" s="25" t="s">
        <v>47</v>
      </c>
      <c r="H6" s="11" t="s">
        <v>112</v>
      </c>
      <c r="I6" s="26" t="s">
        <v>36</v>
      </c>
      <c r="J6" s="9" t="s">
        <v>18</v>
      </c>
      <c r="K6" s="10" t="s">
        <v>19</v>
      </c>
      <c r="L6" s="9"/>
      <c r="M6" s="22" t="s">
        <v>56</v>
      </c>
    </row>
    <row r="7" spans="1:13" ht="54" x14ac:dyDescent="0.25">
      <c r="A7" s="14" t="s">
        <v>57</v>
      </c>
      <c r="B7" s="9" t="s">
        <v>12</v>
      </c>
      <c r="C7" s="14" t="s">
        <v>13</v>
      </c>
      <c r="D7" s="27" t="s">
        <v>58</v>
      </c>
      <c r="E7" s="28" t="s">
        <v>59</v>
      </c>
      <c r="F7" s="27" t="s">
        <v>60</v>
      </c>
      <c r="G7" s="7"/>
      <c r="H7" s="29"/>
      <c r="I7" s="26" t="s">
        <v>36</v>
      </c>
      <c r="J7" s="9" t="s">
        <v>18</v>
      </c>
      <c r="K7" s="9"/>
      <c r="L7" s="9"/>
      <c r="M7" s="22" t="s">
        <v>42</v>
      </c>
    </row>
    <row r="8" spans="1:13" ht="54" x14ac:dyDescent="0.25">
      <c r="A8" s="14" t="s">
        <v>61</v>
      </c>
      <c r="B8" s="9" t="s">
        <v>12</v>
      </c>
      <c r="C8" s="14" t="s">
        <v>13</v>
      </c>
      <c r="D8" s="27" t="s">
        <v>62</v>
      </c>
      <c r="E8" s="28" t="s">
        <v>63</v>
      </c>
      <c r="F8" s="27" t="s">
        <v>64</v>
      </c>
      <c r="G8" s="16" t="s">
        <v>21</v>
      </c>
      <c r="H8" s="21" t="s">
        <v>114</v>
      </c>
      <c r="I8" s="7"/>
      <c r="J8" s="9" t="s">
        <v>18</v>
      </c>
      <c r="K8" s="10" t="s">
        <v>19</v>
      </c>
      <c r="L8" s="9"/>
      <c r="M8" s="22" t="s">
        <v>20</v>
      </c>
    </row>
    <row r="9" spans="1:13" ht="40.5" x14ac:dyDescent="0.25">
      <c r="A9" s="14" t="s">
        <v>65</v>
      </c>
      <c r="B9" s="9" t="s">
        <v>12</v>
      </c>
      <c r="C9" s="14" t="s">
        <v>13</v>
      </c>
      <c r="D9" s="7" t="s">
        <v>66</v>
      </c>
      <c r="E9" s="13" t="s">
        <v>67</v>
      </c>
      <c r="F9" s="7" t="s">
        <v>68</v>
      </c>
      <c r="G9" s="16" t="s">
        <v>21</v>
      </c>
      <c r="H9" s="21" t="s">
        <v>113</v>
      </c>
      <c r="I9" s="7"/>
      <c r="J9" s="9" t="s">
        <v>18</v>
      </c>
      <c r="K9" s="10" t="s">
        <v>19</v>
      </c>
      <c r="L9" s="9"/>
      <c r="M9" s="22" t="s">
        <v>69</v>
      </c>
    </row>
    <row r="10" spans="1:13" ht="81" x14ac:dyDescent="0.25">
      <c r="A10" s="14" t="s">
        <v>70</v>
      </c>
      <c r="B10" s="9" t="s">
        <v>12</v>
      </c>
      <c r="C10" s="14" t="s">
        <v>13</v>
      </c>
      <c r="D10" s="7" t="s">
        <v>71</v>
      </c>
      <c r="E10" s="13" t="s">
        <v>72</v>
      </c>
      <c r="F10" s="7" t="s">
        <v>73</v>
      </c>
      <c r="G10" s="12" t="s">
        <v>17</v>
      </c>
      <c r="H10" s="26"/>
      <c r="I10" s="7"/>
      <c r="J10" s="9" t="s">
        <v>18</v>
      </c>
      <c r="K10" s="30" t="s">
        <v>19</v>
      </c>
      <c r="L10" s="9"/>
      <c r="M10" s="9" t="s">
        <v>74</v>
      </c>
    </row>
    <row r="11" spans="1:13" ht="67.5" x14ac:dyDescent="0.25">
      <c r="A11" s="14" t="s">
        <v>118</v>
      </c>
      <c r="B11" s="9" t="s">
        <v>12</v>
      </c>
      <c r="C11" s="14" t="s">
        <v>13</v>
      </c>
      <c r="D11" s="7" t="s">
        <v>75</v>
      </c>
      <c r="E11" s="13" t="s">
        <v>76</v>
      </c>
      <c r="F11" s="7" t="s">
        <v>77</v>
      </c>
      <c r="G11" s="16" t="s">
        <v>21</v>
      </c>
      <c r="H11" s="34" t="s">
        <v>78</v>
      </c>
      <c r="I11" s="7"/>
      <c r="J11" s="9" t="s">
        <v>18</v>
      </c>
      <c r="K11" s="30" t="s">
        <v>19</v>
      </c>
      <c r="L11" s="9"/>
      <c r="M11" s="26" t="s">
        <v>79</v>
      </c>
    </row>
    <row r="12" spans="1:13" ht="54" x14ac:dyDescent="0.25">
      <c r="A12" s="14" t="s">
        <v>117</v>
      </c>
      <c r="B12" s="9" t="s">
        <v>12</v>
      </c>
      <c r="C12" s="14" t="s">
        <v>13</v>
      </c>
      <c r="D12" s="23" t="s">
        <v>80</v>
      </c>
      <c r="E12" s="13" t="s">
        <v>81</v>
      </c>
      <c r="F12" s="7" t="s">
        <v>116</v>
      </c>
      <c r="G12" s="35" t="s">
        <v>82</v>
      </c>
      <c r="H12" s="34" t="s">
        <v>112</v>
      </c>
      <c r="I12" s="7"/>
      <c r="J12" s="9" t="s">
        <v>18</v>
      </c>
      <c r="K12" s="30" t="s">
        <v>19</v>
      </c>
      <c r="L12" s="9"/>
      <c r="M12" s="26" t="s">
        <v>83</v>
      </c>
    </row>
    <row r="13" spans="1:13" ht="54" x14ac:dyDescent="0.25">
      <c r="A13" s="14" t="s">
        <v>115</v>
      </c>
      <c r="B13" s="9" t="s">
        <v>12</v>
      </c>
      <c r="C13" s="14" t="s">
        <v>13</v>
      </c>
      <c r="D13" s="7" t="s">
        <v>84</v>
      </c>
      <c r="E13" s="24" t="s">
        <v>85</v>
      </c>
      <c r="F13" s="23" t="s">
        <v>86</v>
      </c>
      <c r="G13" s="32" t="s">
        <v>82</v>
      </c>
      <c r="H13" s="31" t="s">
        <v>112</v>
      </c>
      <c r="I13" s="26" t="s">
        <v>36</v>
      </c>
      <c r="J13" s="9" t="s">
        <v>18</v>
      </c>
      <c r="K13" s="30" t="s">
        <v>19</v>
      </c>
      <c r="L13" s="9"/>
      <c r="M13" s="26" t="s">
        <v>83</v>
      </c>
    </row>
    <row r="14" spans="1:13" ht="67.5" x14ac:dyDescent="0.25">
      <c r="A14" s="14" t="s">
        <v>87</v>
      </c>
      <c r="B14" s="9" t="s">
        <v>12</v>
      </c>
      <c r="C14" s="14" t="s">
        <v>13</v>
      </c>
      <c r="D14" s="33" t="s">
        <v>88</v>
      </c>
      <c r="E14" s="13" t="s">
        <v>89</v>
      </c>
      <c r="F14" s="7" t="s">
        <v>90</v>
      </c>
      <c r="G14" s="32" t="s">
        <v>82</v>
      </c>
      <c r="H14" s="31" t="s">
        <v>112</v>
      </c>
      <c r="I14" s="26" t="s">
        <v>36</v>
      </c>
      <c r="J14" s="9" t="s">
        <v>18</v>
      </c>
      <c r="K14" s="30" t="s">
        <v>19</v>
      </c>
      <c r="L14" s="9"/>
      <c r="M14" s="26" t="s">
        <v>91</v>
      </c>
    </row>
    <row r="15" spans="1:13" ht="40.5" x14ac:dyDescent="0.25">
      <c r="A15" s="14" t="s">
        <v>92</v>
      </c>
      <c r="B15" s="9" t="s">
        <v>12</v>
      </c>
      <c r="C15" s="14" t="s">
        <v>13</v>
      </c>
      <c r="D15" s="33" t="s">
        <v>93</v>
      </c>
      <c r="E15" s="36" t="s">
        <v>94</v>
      </c>
      <c r="F15" s="33" t="s">
        <v>95</v>
      </c>
      <c r="G15" s="32" t="s">
        <v>82</v>
      </c>
      <c r="H15" s="31" t="s">
        <v>112</v>
      </c>
      <c r="I15" s="26" t="s">
        <v>36</v>
      </c>
      <c r="J15" s="9" t="s">
        <v>18</v>
      </c>
      <c r="K15" s="30" t="s">
        <v>19</v>
      </c>
      <c r="L15" s="9"/>
      <c r="M15" s="15" t="s">
        <v>96</v>
      </c>
    </row>
    <row r="16" spans="1:13" ht="75" x14ac:dyDescent="0.25">
      <c r="A16" s="37" t="s">
        <v>48</v>
      </c>
      <c r="B16" s="37" t="s">
        <v>12</v>
      </c>
      <c r="C16" s="37" t="s">
        <v>13</v>
      </c>
      <c r="D16" s="37" t="s">
        <v>97</v>
      </c>
      <c r="E16" s="37" t="s">
        <v>98</v>
      </c>
      <c r="F16" s="37" t="s">
        <v>99</v>
      </c>
      <c r="G16" s="37"/>
      <c r="H16" s="37"/>
      <c r="I16" s="37" t="s">
        <v>36</v>
      </c>
      <c r="J16" s="37" t="s">
        <v>119</v>
      </c>
      <c r="K16" s="37"/>
      <c r="L16" s="37"/>
      <c r="M16" s="9" t="s">
        <v>100</v>
      </c>
    </row>
    <row r="17" spans="1:13" ht="75" x14ac:dyDescent="0.25">
      <c r="A17" s="37" t="s">
        <v>57</v>
      </c>
      <c r="B17" s="37" t="s">
        <v>12</v>
      </c>
      <c r="C17" s="37" t="s">
        <v>13</v>
      </c>
      <c r="D17" s="37" t="s">
        <v>101</v>
      </c>
      <c r="E17" s="37" t="s">
        <v>102</v>
      </c>
      <c r="F17" s="37" t="s">
        <v>103</v>
      </c>
      <c r="G17" s="37" t="s">
        <v>21</v>
      </c>
      <c r="H17" s="37" t="s">
        <v>120</v>
      </c>
      <c r="I17" s="37"/>
      <c r="J17" s="37" t="s">
        <v>119</v>
      </c>
      <c r="K17" s="37"/>
      <c r="L17" s="37"/>
      <c r="M17" s="9" t="s">
        <v>104</v>
      </c>
    </row>
  </sheetData>
  <dataValidations disablePrompts="1" count="1">
    <dataValidation type="list" allowBlank="1" showInputMessage="1" showErrorMessage="1" sqref="C2:C17" xr:uid="{C1813F83-DE07-43AE-B75C-492371D1B3A1}">
      <formula1>"Critical Error, Error, Warning"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Checks to Be Considered by VSG</vt:lpstr>
      <vt:lpstr>124 Checks subject for deletion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Stacy Timothy -Ed- E Jr NGA-SFHPQ USA CIV</dc:creator>
  <cp:lastModifiedBy>Stacy Timothy -Ed- E Jr NGA-SFHPQ USA CIV</cp:lastModifiedBy>
  <dcterms:created xsi:type="dcterms:W3CDTF">2026-06-16T18:29:08Z</dcterms:created>
  <dcterms:modified xsi:type="dcterms:W3CDTF">2026-06-16T18:51:41Z</dcterms:modified>
</cp:coreProperties>
</file>